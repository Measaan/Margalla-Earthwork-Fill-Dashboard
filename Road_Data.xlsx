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gress_Data" sheetId="1" state="visible" r:id="rId1"/>
    <sheet name="Daily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sz val="10"/>
    </font>
    <font>
      <name val="Calibri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FFFDE7"/>
      </patternFill>
    </fill>
    <fill>
      <patternFill patternType="solid">
        <fgColor rgb="FFFCE4D6"/>
      </patternFill>
    </fill>
    <fill>
      <patternFill patternType="solid">
        <fgColor rgb="FFDDFFEE"/>
      </patternFill>
    </fill>
    <fill>
      <patternFill patternType="solid">
        <fgColor rgb="FFFDEBD0"/>
      </patternFill>
    </fill>
    <fill>
      <patternFill patternType="solid">
        <fgColor rgb="FF375623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3" fontId="0" fillId="9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ySplit="2" topLeftCell="A3" activePane="bottomLeft" state="frozen"/>
      <selection pane="bottomLeft" activeCell="D6" sqref="D6"/>
    </sheetView>
  </sheetViews>
  <sheetFormatPr baseColWidth="8" defaultRowHeight="15"/>
  <cols>
    <col width="24" customWidth="1" style="21" min="1" max="1"/>
    <col width="28" customWidth="1" style="21" min="2" max="2"/>
    <col width="16" customWidth="1" style="21" min="3" max="3"/>
    <col width="22" customWidth="1" style="21" min="4" max="4"/>
    <col width="16" customWidth="1" style="21" min="5" max="5"/>
    <col width="20" customWidth="1" style="21" min="6" max="6"/>
    <col width="14" customWidth="1" style="21" min="7" max="7"/>
    <col width="12" customWidth="1" style="21" min="8" max="8"/>
  </cols>
  <sheetData>
    <row r="1" ht="26.1" customHeight="1" s="21">
      <c r="A1" s="22" t="inlineStr">
        <is>
          <t>MARGALLA ENCLAVE LINK ROAD — EARTHWORK FILL PROGRESS  |  Gross: 898,453 m³  −  Structure: 57,294 m³  =  Net Target: 841,159 m³</t>
        </is>
      </c>
      <c r="B1" s="23" t="n"/>
      <c r="C1" s="23" t="n"/>
      <c r="D1" s="23" t="n"/>
      <c r="E1" s="23" t="n"/>
      <c r="F1" s="23" t="n"/>
      <c r="G1" s="23" t="n"/>
      <c r="H1" s="24" t="n"/>
    </row>
    <row r="2" ht="21.95" customHeight="1" s="21">
      <c r="A2" s="1" t="inlineStr">
        <is>
          <t>Contractor</t>
        </is>
      </c>
      <c r="B2" s="1" t="inlineStr">
        <is>
          <t>Section</t>
        </is>
      </c>
      <c r="C2" s="1" t="inlineStr">
        <is>
          <t>Total Qty (m³)</t>
        </is>
      </c>
      <c r="D2" s="1" t="inlineStr">
        <is>
          <t>Work Done To Date (m³)</t>
        </is>
      </c>
      <c r="E2" s="1" t="inlineStr">
        <is>
          <t>Daily Added (m³)</t>
        </is>
      </c>
      <c r="F2" s="1" t="inlineStr">
        <is>
          <t>Total Work Done (m³)</t>
        </is>
      </c>
      <c r="G2" s="1" t="inlineStr">
        <is>
          <t>Balance (m³)</t>
        </is>
      </c>
      <c r="H2" s="1" t="inlineStr">
        <is>
          <t>Progress (%)</t>
        </is>
      </c>
    </row>
    <row r="3">
      <c r="A3" s="2" t="inlineStr">
        <is>
          <t>Al Ajal Builders</t>
        </is>
      </c>
      <c r="B3" s="3" t="inlineStr">
        <is>
          <t>Section-1 (0+000 to 1+000)</t>
        </is>
      </c>
      <c r="C3" s="4" t="n">
        <v>242029</v>
      </c>
      <c r="D3" s="5" t="n">
        <v>145052</v>
      </c>
      <c r="E3" s="5" t="n">
        <v>2400</v>
      </c>
      <c r="F3" s="6">
        <f>D3+E3</f>
        <v/>
      </c>
      <c r="G3" s="7">
        <f>MAX(0,C3-F3)</f>
        <v/>
      </c>
      <c r="H3" s="8">
        <f>IF(C3&gt;0,F3/C3,0)</f>
        <v/>
      </c>
    </row>
    <row r="4">
      <c r="A4" s="9" t="inlineStr">
        <is>
          <t>BAS Construction</t>
        </is>
      </c>
      <c r="B4" s="10" t="inlineStr">
        <is>
          <t>Section-2 (1+000 to 2+000)</t>
        </is>
      </c>
      <c r="C4" s="11" t="n">
        <v>349638</v>
      </c>
      <c r="D4" s="5" t="n">
        <v>214471</v>
      </c>
      <c r="E4" s="5" t="n">
        <v>5000</v>
      </c>
      <c r="F4" s="6">
        <f>D4+E4</f>
        <v/>
      </c>
      <c r="G4" s="7">
        <f>MAX(0,C4-F4)</f>
        <v/>
      </c>
      <c r="H4" s="8">
        <f>IF(C4&gt;0,F4/C4,0)</f>
        <v/>
      </c>
    </row>
    <row r="5">
      <c r="A5" s="12" t="inlineStr">
        <is>
          <t>M. Shehzad Abbasi</t>
        </is>
      </c>
      <c r="B5" s="13" t="inlineStr">
        <is>
          <t>Section-3 (2+000 to 3+000)</t>
        </is>
      </c>
      <c r="C5" s="5" t="n">
        <v>211523</v>
      </c>
      <c r="D5" s="5" t="n">
        <v>134471</v>
      </c>
      <c r="E5" s="5" t="n">
        <v>2600</v>
      </c>
      <c r="F5" s="6">
        <f>D5+E5</f>
        <v/>
      </c>
      <c r="G5" s="7">
        <f>MAX(0,C5-F5)</f>
        <v/>
      </c>
      <c r="H5" s="8">
        <f>IF(C5&gt;0,F5/C5,0)</f>
        <v/>
      </c>
    </row>
    <row r="6">
      <c r="A6" s="14" t="inlineStr">
        <is>
          <t>Fazal Rehman</t>
        </is>
      </c>
      <c r="B6" s="15" t="inlineStr">
        <is>
          <t>Section-4 (3+000 to 3+750)</t>
        </is>
      </c>
      <c r="C6" s="16" t="n">
        <v>95263</v>
      </c>
      <c r="D6" s="5" t="n">
        <v>48993</v>
      </c>
      <c r="E6" s="5" t="n">
        <v>1140</v>
      </c>
      <c r="F6" s="6">
        <f>D6+E6</f>
        <v/>
      </c>
      <c r="G6" s="7">
        <f>MAX(0,C6-F6)</f>
        <v/>
      </c>
      <c r="H6" s="8">
        <f>IF(C6&gt;0,F6/C6,0)</f>
        <v/>
      </c>
    </row>
    <row r="7">
      <c r="A7" s="17" t="inlineStr">
        <is>
          <t>TOTAL</t>
        </is>
      </c>
      <c r="B7" s="1" t="n"/>
      <c r="C7" s="18">
        <f>SUM(C3:C6)</f>
        <v/>
      </c>
      <c r="D7" s="18">
        <f>SUM(D3:D6)</f>
        <v/>
      </c>
      <c r="E7" s="18">
        <f>SUM(E3:E6)</f>
        <v/>
      </c>
      <c r="F7" s="18">
        <f>SUM(F3:F6)</f>
        <v/>
      </c>
      <c r="G7" s="18">
        <f>SUM(G3:G6)</f>
        <v/>
      </c>
      <c r="H7" s="19">
        <f>IF(C7&gt;0,F7/C7,0)</f>
        <v/>
      </c>
    </row>
    <row r="9">
      <c r="A9" s="20" t="inlineStr">
        <is>
          <t>Structure Deduction: 57,294 m³  →  Net Target: 841,159 m³  |  Work Done: 525,092 m³  |  Net Balance: 316,067 m³  |  Net Progress: 62.4%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style="21" min="1" max="1"/>
    <col width="24" customWidth="1" style="21" min="2" max="2"/>
    <col width="28" customWidth="1" style="21" min="3" max="3"/>
    <col width="18" customWidth="1" style="21" min="4" max="4"/>
    <col width="20" customWidth="1" style="21" min="5" max="5"/>
    <col width="25" customWidth="1" style="21" min="6" max="6"/>
  </cols>
  <sheetData>
    <row r="1" ht="26.1" customHeight="1" s="21">
      <c r="A1" s="25" t="inlineStr">
        <is>
          <t>DAILY WORK LOG</t>
        </is>
      </c>
      <c r="B1" s="23" t="n"/>
      <c r="C1" s="23" t="n"/>
      <c r="D1" s="23" t="n"/>
      <c r="E1" s="23" t="n"/>
      <c r="F1" s="24" t="n"/>
    </row>
    <row r="2">
      <c r="A2" s="1" t="inlineStr">
        <is>
          <t>Date</t>
        </is>
      </c>
      <c r="B2" s="1" t="inlineStr">
        <is>
          <t>Contractor</t>
        </is>
      </c>
      <c r="C2" s="1" t="inlineStr">
        <is>
          <t>Section</t>
        </is>
      </c>
      <c r="D2" s="1" t="inlineStr">
        <is>
          <t>Daily Added (m³)</t>
        </is>
      </c>
      <c r="E2" s="1" t="inlineStr">
        <is>
          <t>Cumulative WD (m³)</t>
        </is>
      </c>
      <c r="F2" s="1" t="inlineStr">
        <is>
          <t>Remarks</t>
        </is>
      </c>
    </row>
    <row r="3">
      <c r="A3" s="26" t="inlineStr">
        <is>
          <t>2026-03-04</t>
        </is>
      </c>
      <c r="B3" s="26" t="inlineStr">
        <is>
          <t>Al Ajal Builders</t>
        </is>
      </c>
      <c r="C3" s="26" t="inlineStr">
        <is>
          <t>Section-1 (0+000 to 1+000)</t>
        </is>
      </c>
      <c r="D3" s="27" t="n">
        <v>1</v>
      </c>
      <c r="E3" s="27" t="n">
        <v>134500</v>
      </c>
      <c r="F3" s="26" t="inlineStr"/>
    </row>
    <row r="4">
      <c r="A4" s="26" t="inlineStr">
        <is>
          <t>2026-03-04</t>
        </is>
      </c>
      <c r="B4" s="26" t="inlineStr">
        <is>
          <t>BAS Construction</t>
        </is>
      </c>
      <c r="C4" s="26" t="inlineStr">
        <is>
          <t>Section-2 (1+000 to 2+000)</t>
        </is>
      </c>
      <c r="D4" s="27" t="n">
        <v>1</v>
      </c>
      <c r="E4" s="27" t="n">
        <v>195171</v>
      </c>
      <c r="F4" s="26" t="inlineStr"/>
    </row>
    <row r="5">
      <c r="A5" s="26" t="inlineStr">
        <is>
          <t>2026-03-04</t>
        </is>
      </c>
      <c r="B5" s="26" t="inlineStr">
        <is>
          <t>M. Shehzad Abbasi</t>
        </is>
      </c>
      <c r="C5" s="26" t="inlineStr">
        <is>
          <t>Section-3 (2+000 to 3+000)</t>
        </is>
      </c>
      <c r="D5" s="27" t="n">
        <v>1</v>
      </c>
      <c r="E5" s="27" t="n">
        <v>123471</v>
      </c>
      <c r="F5" s="26" t="inlineStr"/>
    </row>
    <row r="6">
      <c r="A6" s="26" t="inlineStr">
        <is>
          <t>2026-03-04</t>
        </is>
      </c>
      <c r="B6" s="26" t="inlineStr">
        <is>
          <t>Fazal Rehman</t>
        </is>
      </c>
      <c r="C6" s="26" t="inlineStr">
        <is>
          <t>Section-4 (3+000 to 3+750)</t>
        </is>
      </c>
      <c r="D6" s="27" t="n">
        <v>1</v>
      </c>
      <c r="E6" s="27" t="n">
        <v>42353</v>
      </c>
      <c r="F6" s="26" t="inlineStr"/>
    </row>
    <row r="7">
      <c r="A7" s="26" t="inlineStr">
        <is>
          <t>2026-03-04</t>
        </is>
      </c>
      <c r="B7" s="26" t="inlineStr">
        <is>
          <t>Al Ajal Builders</t>
        </is>
      </c>
      <c r="C7" s="26" t="inlineStr">
        <is>
          <t>Section-1 (0+000 to 1+000)</t>
        </is>
      </c>
      <c r="D7" s="27" t="n">
        <v>3400</v>
      </c>
      <c r="E7" s="27" t="n">
        <v>137900</v>
      </c>
      <c r="F7" s="26" t="inlineStr"/>
    </row>
    <row r="8">
      <c r="A8" s="26" t="inlineStr">
        <is>
          <t>2026-03-04</t>
        </is>
      </c>
      <c r="B8" s="26" t="inlineStr">
        <is>
          <t>BAS Construction</t>
        </is>
      </c>
      <c r="C8" s="26" t="inlineStr">
        <is>
          <t>Section-2 (1+000 to 2+000)</t>
        </is>
      </c>
      <c r="D8" s="27" t="n">
        <v>4800</v>
      </c>
      <c r="E8" s="27" t="n">
        <v>199971</v>
      </c>
      <c r="F8" s="26" t="inlineStr"/>
    </row>
    <row r="9">
      <c r="A9" s="26" t="inlineStr">
        <is>
          <t>2026-03-04</t>
        </is>
      </c>
      <c r="B9" s="26" t="inlineStr">
        <is>
          <t>M. Shehzad Abbasi</t>
        </is>
      </c>
      <c r="C9" s="26" t="inlineStr">
        <is>
          <t>Section-3 (2+000 to 3+000)</t>
        </is>
      </c>
      <c r="D9" s="27" t="n">
        <v>2700</v>
      </c>
      <c r="E9" s="27" t="n">
        <v>126171</v>
      </c>
      <c r="F9" s="26" t="inlineStr"/>
    </row>
    <row r="10">
      <c r="A10" s="26" t="inlineStr">
        <is>
          <t>2026-03-04</t>
        </is>
      </c>
      <c r="B10" s="26" t="inlineStr">
        <is>
          <t>Fazal Rehman</t>
        </is>
      </c>
      <c r="C10" s="26" t="inlineStr">
        <is>
          <t>Section-4 (3+000 to 3+750)</t>
        </is>
      </c>
      <c r="D10" s="27" t="n">
        <v>1800</v>
      </c>
      <c r="E10" s="27" t="n">
        <v>44153</v>
      </c>
      <c r="F10" s="26" t="inlineStr"/>
    </row>
    <row r="11">
      <c r="A11" s="26" t="inlineStr">
        <is>
          <t>2026-03-05</t>
        </is>
      </c>
      <c r="B11" s="26" t="inlineStr">
        <is>
          <t>Al Ajal Builders</t>
        </is>
      </c>
      <c r="C11" s="26" t="inlineStr">
        <is>
          <t>Section-1 (0+000 to 1+000)</t>
        </is>
      </c>
      <c r="D11" s="27" t="n">
        <v>3252</v>
      </c>
      <c r="E11" s="27" t="n">
        <v>141152</v>
      </c>
      <c r="F11" s="26" t="inlineStr"/>
    </row>
    <row r="12">
      <c r="A12" s="26" t="inlineStr">
        <is>
          <t>2026-03-05</t>
        </is>
      </c>
      <c r="B12" s="26" t="inlineStr">
        <is>
          <t>BAS Construction</t>
        </is>
      </c>
      <c r="C12" s="26" t="inlineStr">
        <is>
          <t>Section-2 (1+000 to 2+000)</t>
        </is>
      </c>
      <c r="D12" s="27" t="n">
        <v>5000</v>
      </c>
      <c r="E12" s="27" t="n">
        <v>204971</v>
      </c>
      <c r="F12" s="26" t="inlineStr"/>
    </row>
    <row r="13">
      <c r="A13" s="26" t="inlineStr">
        <is>
          <t>2026-03-05</t>
        </is>
      </c>
      <c r="B13" s="26" t="inlineStr">
        <is>
          <t>M. Shehzad Abbasi</t>
        </is>
      </c>
      <c r="C13" s="26" t="inlineStr">
        <is>
          <t>Section-3 (2+000 to 3+000)</t>
        </is>
      </c>
      <c r="D13" s="27" t="n">
        <v>2900</v>
      </c>
      <c r="E13" s="27" t="n">
        <v>129071</v>
      </c>
      <c r="F13" s="26" t="inlineStr"/>
    </row>
    <row r="14">
      <c r="A14" s="26" t="inlineStr">
        <is>
          <t>2026-03-05</t>
        </is>
      </c>
      <c r="B14" s="26" t="inlineStr">
        <is>
          <t>Fazal Rehman</t>
        </is>
      </c>
      <c r="C14" s="26" t="inlineStr">
        <is>
          <t>Section-4 (3+000 to 3+750)</t>
        </is>
      </c>
      <c r="D14" s="27" t="n">
        <v>1900</v>
      </c>
      <c r="E14" s="27" t="n">
        <v>46053</v>
      </c>
      <c r="F14" s="26" t="inlineStr"/>
    </row>
    <row r="15">
      <c r="A15" s="26" t="inlineStr">
        <is>
          <t>2026-03-07</t>
        </is>
      </c>
      <c r="B15" s="26" t="inlineStr">
        <is>
          <t>Al Ajal Builders</t>
        </is>
      </c>
      <c r="C15" s="26" t="inlineStr">
        <is>
          <t>Section-1 (0+000 to 1+000)</t>
        </is>
      </c>
      <c r="D15" s="27" t="n">
        <v>1500</v>
      </c>
      <c r="E15" s="27" t="n">
        <v>142652</v>
      </c>
      <c r="F15" s="26" t="inlineStr"/>
    </row>
    <row r="16">
      <c r="A16" s="26" t="inlineStr">
        <is>
          <t>2026-03-07</t>
        </is>
      </c>
      <c r="B16" s="26" t="inlineStr">
        <is>
          <t>BAS Construction</t>
        </is>
      </c>
      <c r="C16" s="26" t="inlineStr">
        <is>
          <t>Section-2 (1+000 to 2+000)</t>
        </is>
      </c>
      <c r="D16" s="27" t="n">
        <v>4500</v>
      </c>
      <c r="E16" s="27" t="n">
        <v>209471</v>
      </c>
      <c r="F16" s="26" t="inlineStr"/>
    </row>
    <row r="17">
      <c r="A17" s="26" t="inlineStr">
        <is>
          <t>2026-03-07</t>
        </is>
      </c>
      <c r="B17" s="26" t="inlineStr">
        <is>
          <t>M. Shehzad Abbasi</t>
        </is>
      </c>
      <c r="C17" s="26" t="inlineStr">
        <is>
          <t>Section-3 (2+000 to 3+000)</t>
        </is>
      </c>
      <c r="D17" s="27" t="n">
        <v>2800</v>
      </c>
      <c r="E17" s="27" t="n">
        <v>131871</v>
      </c>
      <c r="F17" s="26" t="inlineStr"/>
    </row>
    <row r="18">
      <c r="A18" s="26" t="inlineStr">
        <is>
          <t>2026-03-07</t>
        </is>
      </c>
      <c r="B18" s="26" t="inlineStr">
        <is>
          <t>Fazal Rehman</t>
        </is>
      </c>
      <c r="C18" s="26" t="inlineStr">
        <is>
          <t>Section-4 (3+000 to 3+750)</t>
        </is>
      </c>
      <c r="D18" s="27" t="n">
        <v>1800</v>
      </c>
      <c r="E18" s="27" t="n">
        <v>47853</v>
      </c>
      <c r="F18" s="26" t="inlineStr"/>
    </row>
    <row r="19">
      <c r="A19" s="26" t="inlineStr">
        <is>
          <t>2026-03-08</t>
        </is>
      </c>
      <c r="B19" s="26" t="inlineStr">
        <is>
          <t>Al Ajal Builders</t>
        </is>
      </c>
      <c r="C19" s="26" t="inlineStr">
        <is>
          <t>Section-1 (0+000 to 1+000)</t>
        </is>
      </c>
      <c r="D19" s="27" t="n">
        <v>2400</v>
      </c>
      <c r="E19" s="27" t="n">
        <v>145052</v>
      </c>
      <c r="F19" s="26" t="inlineStr"/>
    </row>
    <row r="20">
      <c r="A20" s="26" t="inlineStr">
        <is>
          <t>2026-03-08</t>
        </is>
      </c>
      <c r="B20" s="26" t="inlineStr">
        <is>
          <t>BAS Construction</t>
        </is>
      </c>
      <c r="C20" s="26" t="inlineStr">
        <is>
          <t>Section-2 (1+000 to 2+000)</t>
        </is>
      </c>
      <c r="D20" s="27" t="n">
        <v>5000</v>
      </c>
      <c r="E20" s="27" t="n">
        <v>214471</v>
      </c>
      <c r="F20" s="26" t="inlineStr"/>
    </row>
    <row r="21">
      <c r="A21" s="26" t="inlineStr">
        <is>
          <t>2026-03-08</t>
        </is>
      </c>
      <c r="B21" s="26" t="inlineStr">
        <is>
          <t>M. Shehzad Abbasi</t>
        </is>
      </c>
      <c r="C21" s="26" t="inlineStr">
        <is>
          <t>Section-3 (2+000 to 3+000)</t>
        </is>
      </c>
      <c r="D21" s="27" t="n">
        <v>2600</v>
      </c>
      <c r="E21" s="27" t="n">
        <v>134471</v>
      </c>
      <c r="F21" s="26" t="inlineStr"/>
    </row>
    <row r="22">
      <c r="A22" s="26" t="inlineStr">
        <is>
          <t>2026-03-08</t>
        </is>
      </c>
      <c r="B22" s="26" t="inlineStr">
        <is>
          <t>Fazal Rehman</t>
        </is>
      </c>
      <c r="C22" s="26" t="inlineStr">
        <is>
          <t>Section-4 (3+000 to 3+750)</t>
        </is>
      </c>
      <c r="D22" s="27" t="n">
        <v>1140</v>
      </c>
      <c r="E22" s="27" t="n">
        <v>48993</v>
      </c>
      <c r="F22" s="2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2026-03-04T05:46:21Z</dcterms:created>
  <dcterms:modified xsi:type="dcterms:W3CDTF">2026-03-08T09:33:52Z</dcterms:modified>
  <cp:lastModifiedBy>Engr Measaan Khan</cp:lastModifiedBy>
</cp:coreProperties>
</file>