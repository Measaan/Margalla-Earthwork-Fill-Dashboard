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0"/>
    </font>
    <font>
      <b val="1"/>
      <sz val="10"/>
    </font>
    <font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EFF"/>
      </patternFill>
    </fill>
    <fill>
      <patternFill patternType="solid">
        <fgColor rgb="00FFFDE7"/>
      </patternFill>
    </fill>
    <fill>
      <patternFill patternType="solid">
        <fgColor rgb="00FCE4D6"/>
      </patternFill>
    </fill>
    <fill>
      <patternFill patternType="solid">
        <fgColor rgb="00DDFFEE"/>
      </patternFill>
    </fill>
    <fill>
      <patternFill patternType="solid">
        <fgColor rgb="00FDEBD0"/>
      </patternFill>
    </fill>
    <fill>
      <patternFill patternType="solid">
        <fgColor rgb="00375623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16" customWidth="1" min="3" max="3"/>
    <col width="22" customWidth="1" min="4" max="4"/>
    <col width="16" customWidth="1" min="5" max="5"/>
    <col width="20" customWidth="1" min="6" max="6"/>
    <col width="14" customWidth="1" min="7" max="7"/>
    <col width="12" customWidth="1" min="8" max="8"/>
  </cols>
  <sheetData>
    <row r="1" ht="26" customHeight="1">
      <c r="A1" s="1" t="inlineStr">
        <is>
          <t>MARGALLA ENCLAVE LINK ROAD — EARTHWORK FILL PROGRESS  |  Gross: 898,453 m³  −  Structure: 57,294 m³  =  Net Target: 841,159 m³</t>
        </is>
      </c>
      <c r="B1" s="23" t="n"/>
      <c r="C1" s="23" t="n"/>
      <c r="D1" s="23" t="n"/>
      <c r="E1" s="23" t="n"/>
      <c r="F1" s="23" t="n"/>
      <c r="G1" s="23" t="n"/>
      <c r="H1" s="24" t="n"/>
    </row>
    <row r="2" ht="22" customHeight="1">
      <c r="A2" s="2" t="inlineStr">
        <is>
          <t>Contractor</t>
        </is>
      </c>
      <c r="B2" s="2" t="inlineStr">
        <is>
          <t>Section</t>
        </is>
      </c>
      <c r="C2" s="2" t="inlineStr">
        <is>
          <t>Total Qty (m³)</t>
        </is>
      </c>
      <c r="D2" s="2" t="inlineStr">
        <is>
          <t>Work Done To Date (m³)</t>
        </is>
      </c>
      <c r="E2" s="2" t="inlineStr">
        <is>
          <t>Daily Added (m³)</t>
        </is>
      </c>
      <c r="F2" s="2" t="inlineStr">
        <is>
          <t>Total Work Done (m³)</t>
        </is>
      </c>
      <c r="G2" s="2" t="inlineStr">
        <is>
          <t>Balance (m³)</t>
        </is>
      </c>
      <c r="H2" s="2" t="inlineStr">
        <is>
          <t>Progress (%)</t>
        </is>
      </c>
    </row>
    <row r="3">
      <c r="A3" s="3" t="inlineStr">
        <is>
          <t>Al Ajal Builders</t>
        </is>
      </c>
      <c r="B3" s="4" t="inlineStr">
        <is>
          <t>Section-1 (0+000 to 1+000)</t>
        </is>
      </c>
      <c r="C3" s="5" t="n">
        <v>242029</v>
      </c>
      <c r="D3" s="6" t="n">
        <v>134499</v>
      </c>
      <c r="E3" s="6" t="n">
        <v>0</v>
      </c>
      <c r="F3" s="7">
        <f>D3+E3</f>
        <v/>
      </c>
      <c r="G3" s="8">
        <f>MAX(0,C3-F3)</f>
        <v/>
      </c>
      <c r="H3" s="9">
        <f>IF(C3&gt;0,F3/C3,0)</f>
        <v/>
      </c>
    </row>
    <row r="4">
      <c r="A4" s="10" t="inlineStr">
        <is>
          <t>BAS Construction</t>
        </is>
      </c>
      <c r="B4" s="11" t="inlineStr">
        <is>
          <t>Section-2 (1+000 to 2+000)</t>
        </is>
      </c>
      <c r="C4" s="12" t="n">
        <v>349638</v>
      </c>
      <c r="D4" s="6" t="n">
        <v>195170</v>
      </c>
      <c r="E4" s="6" t="n">
        <v>0</v>
      </c>
      <c r="F4" s="7">
        <f>D4+E4</f>
        <v/>
      </c>
      <c r="G4" s="8">
        <f>MAX(0,C4-F4)</f>
        <v/>
      </c>
      <c r="H4" s="9">
        <f>IF(C4&gt;0,F4/C4,0)</f>
        <v/>
      </c>
    </row>
    <row r="5">
      <c r="A5" s="13" t="inlineStr">
        <is>
          <t>M. Shehzad Abbasi</t>
        </is>
      </c>
      <c r="B5" s="14" t="inlineStr">
        <is>
          <t>Section-3 (2+000 to 3+000)</t>
        </is>
      </c>
      <c r="C5" s="6" t="n">
        <v>211523</v>
      </c>
      <c r="D5" s="6" t="n">
        <v>153071</v>
      </c>
      <c r="E5" s="6" t="n">
        <v>0</v>
      </c>
      <c r="F5" s="7">
        <f>D5+E5</f>
        <v/>
      </c>
      <c r="G5" s="8">
        <f>MAX(0,C5-F5)</f>
        <v/>
      </c>
      <c r="H5" s="9">
        <f>IF(C5&gt;0,F5/C5,0)</f>
        <v/>
      </c>
    </row>
    <row r="6">
      <c r="A6" s="15" t="inlineStr">
        <is>
          <t>Fazal Rehman</t>
        </is>
      </c>
      <c r="B6" s="16" t="inlineStr">
        <is>
          <t>Section-4 (3+000 to 3+750)</t>
        </is>
      </c>
      <c r="C6" s="17" t="n">
        <v>95263</v>
      </c>
      <c r="D6" s="6" t="n">
        <v>42352</v>
      </c>
      <c r="E6" s="6" t="n">
        <v>0</v>
      </c>
      <c r="F6" s="7">
        <f>D6+E6</f>
        <v/>
      </c>
      <c r="G6" s="8">
        <f>MAX(0,C6-F6)</f>
        <v/>
      </c>
      <c r="H6" s="9">
        <f>IF(C6&gt;0,F6/C6,0)</f>
        <v/>
      </c>
    </row>
    <row r="7">
      <c r="A7" s="18" t="inlineStr">
        <is>
          <t>TOTAL</t>
        </is>
      </c>
      <c r="B7" s="2" t="n"/>
      <c r="C7" s="19">
        <f>SUM(C3:C6)</f>
        <v/>
      </c>
      <c r="D7" s="19">
        <f>SUM(D3:D6)</f>
        <v/>
      </c>
      <c r="E7" s="19">
        <f>SUM(E3:E6)</f>
        <v/>
      </c>
      <c r="F7" s="19">
        <f>SUM(F3:F6)</f>
        <v/>
      </c>
      <c r="G7" s="19">
        <f>SUM(G3:G6)</f>
        <v/>
      </c>
      <c r="H7" s="20">
        <f>IF(C7&gt;0,F7/C7,0)</f>
        <v/>
      </c>
    </row>
    <row r="9">
      <c r="A9" s="21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8" customWidth="1" min="3" max="3"/>
    <col width="18" customWidth="1" min="4" max="4"/>
    <col width="20" customWidth="1" min="5" max="5"/>
    <col width="25" customWidth="1" min="6" max="6"/>
  </cols>
  <sheetData>
    <row r="1" ht="26" customHeight="1">
      <c r="A1" s="22" t="inlineStr">
        <is>
          <t>DAILY WORK LOG</t>
        </is>
      </c>
      <c r="B1" s="23" t="n"/>
      <c r="C1" s="23" t="n"/>
      <c r="D1" s="23" t="n"/>
      <c r="E1" s="23" t="n"/>
      <c r="F1" s="24" t="n"/>
    </row>
    <row r="2">
      <c r="A2" s="2" t="inlineStr">
        <is>
          <t>Date</t>
        </is>
      </c>
      <c r="B2" s="2" t="inlineStr">
        <is>
          <t>Contractor</t>
        </is>
      </c>
      <c r="C2" s="2" t="inlineStr">
        <is>
          <t>Section</t>
        </is>
      </c>
      <c r="D2" s="2" t="inlineStr">
        <is>
          <t>Daily Added (m³)</t>
        </is>
      </c>
      <c r="E2" s="2" t="inlineStr">
        <is>
          <t>Cumulative WD (m³)</t>
        </is>
      </c>
      <c r="F2" s="2" t="inlineStr">
        <is>
          <t>Remarks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2026-03-04T06:22:46Z</dcterms:modified>
</cp:coreProperties>
</file>